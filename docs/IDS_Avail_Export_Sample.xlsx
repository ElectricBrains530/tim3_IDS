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7977cc4a33bbdd/Desktop/"/>
    </mc:Choice>
  </mc:AlternateContent>
  <xr:revisionPtr revIDLastSave="38" documentId="13_ncr:1_{B3D83784-B67A-4F86-90F7-7842409FC3E5}" xr6:coauthVersionLast="47" xr6:coauthVersionMax="47" xr10:uidLastSave="{210F0C3F-6683-49C6-8149-295C3B2CDC9D}"/>
  <bookViews>
    <workbookView xWindow="19185" yWindow="900" windowWidth="22785" windowHeight="18180" xr2:uid="{E287CB7D-232C-420E-94FA-D8CA90262B8B}"/>
  </bookViews>
  <sheets>
    <sheet name="Program Name Here" sheetId="1" r:id="rId1"/>
  </sheets>
  <definedNames>
    <definedName name="_xlnm.Print_Area" localSheetId="0">'Program Name Here'!$A$1:$R$40</definedName>
    <definedName name="T25Au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" i="1" l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23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</calcChain>
</file>

<file path=xl/sharedStrings.xml><?xml version="1.0" encoding="utf-8"?>
<sst xmlns="http://schemas.openxmlformats.org/spreadsheetml/2006/main" count="327" uniqueCount="45">
  <si>
    <t>Casual Availability</t>
  </si>
  <si>
    <t>NAME</t>
  </si>
  <si>
    <t>TOTAL HOURS</t>
  </si>
  <si>
    <t>PHONE</t>
  </si>
  <si>
    <t>THURS</t>
  </si>
  <si>
    <t>FRI</t>
  </si>
  <si>
    <t xml:space="preserve">SAT </t>
  </si>
  <si>
    <t>SUN</t>
  </si>
  <si>
    <t xml:space="preserve">MON </t>
  </si>
  <si>
    <t>TUES</t>
  </si>
  <si>
    <t>WED</t>
  </si>
  <si>
    <t>PART TIME</t>
  </si>
  <si>
    <t xml:space="preserve">A, </t>
  </si>
  <si>
    <t>CASUAL</t>
  </si>
  <si>
    <t xml:space="preserve">N/A, </t>
  </si>
  <si>
    <t xml:space="preserve">D,  </t>
  </si>
  <si>
    <t xml:space="preserve">A,  </t>
  </si>
  <si>
    <t>STAFF ALSO TRAINED</t>
  </si>
  <si>
    <t>Karen BYERS</t>
  </si>
  <si>
    <t>778.689.1886</t>
  </si>
  <si>
    <t>Sousan HASHEMI</t>
  </si>
  <si>
    <t>778.302.1021</t>
  </si>
  <si>
    <t xml:space="preserve">E,  </t>
  </si>
  <si>
    <t xml:space="preserve">D,  E,  </t>
  </si>
  <si>
    <t xml:space="preserve">E,  OS,  </t>
  </si>
  <si>
    <t xml:space="preserve">OS,  </t>
  </si>
  <si>
    <t>&lt;Program Name Here&gt;</t>
  </si>
  <si>
    <t>1PM to 11PM</t>
  </si>
  <si>
    <t>10:30PM to 9 AM</t>
  </si>
  <si>
    <t>6AM-4PM</t>
  </si>
  <si>
    <t>d=day</t>
  </si>
  <si>
    <t>e=evening</t>
  </si>
  <si>
    <t>os=over night sleep</t>
  </si>
  <si>
    <t>A=available all day</t>
  </si>
  <si>
    <t>Legend</t>
  </si>
  <si>
    <t>Mary Motkins</t>
  </si>
  <si>
    <t>Erin Orange</t>
  </si>
  <si>
    <t>Joe Oftuse</t>
  </si>
  <si>
    <t>Sam Emit</t>
  </si>
  <si>
    <t>Sally Thompson</t>
  </si>
  <si>
    <t>Kirk Orion</t>
  </si>
  <si>
    <t>Nina Lander</t>
  </si>
  <si>
    <t>Aaron Ward</t>
  </si>
  <si>
    <t>TOTAL HOURS (Seniority)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</si>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</sst>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>
    <font>
      <sz val="11"/>
      <color theme="1"/>
      <name val="Calibri"/>
      <family val="2"/>
      <scheme val="minor"/>
    </font>
    <font>
      <sz val="10"/>
      <name val="Open Sans"/>
      <family val="2"/>
    </font>
    <font>
      <b/>
      <sz val="18"/>
      <color rgb="FFC00000"/>
      <name val="Open Sans"/>
      <family val="2"/>
    </font>
    <font>
      <b/>
      <sz val="12"/>
      <name val="Open Sans"/>
      <family val="2"/>
    </font>
    <font>
      <b/>
      <sz val="12"/>
      <name val="Calbri"/>
    </font>
    <font>
      <b/>
      <sz val="16"/>
      <color rgb="FF048F45"/>
      <name val="Open Sans"/>
      <family val="2"/>
    </font>
    <font>
      <sz val="10"/>
      <name val="Trebuchet MS"/>
      <family val="2"/>
    </font>
    <font>
      <sz val="12"/>
      <name val="Open Sans"/>
      <family val="2"/>
    </font>
    <font>
      <sz val="12"/>
      <color theme="1"/>
      <name val="Open Sans"/>
      <family val="2"/>
    </font>
    <font>
      <sz val="12"/>
      <color rgb="FF252525"/>
      <name val="Open Sans"/>
    </font>
    <font>
      <sz val="12"/>
      <color theme="1"/>
      <name val="Open Sans"/>
    </font>
    <font>
      <sz val="11"/>
      <name val="Tahoma"/>
      <family val="2"/>
    </font>
    <font>
      <b/>
      <sz val="12"/>
      <color theme="1"/>
      <name val="Open Sans"/>
      <family val="2"/>
    </font>
    <font>
      <sz val="10"/>
      <color theme="1"/>
      <name val="Open Sans"/>
      <family val="2"/>
    </font>
    <font>
      <sz val="12"/>
      <name val="Open Sans"/>
    </font>
    <font>
      <b/>
      <sz val="12"/>
      <color theme="0" tint="-0.34998626667073579"/>
      <name val="Open Sans"/>
      <family val="2"/>
    </font>
    <font>
      <b/>
      <sz val="16"/>
      <color rgb="FFED2E38"/>
      <name val="Open Sans"/>
      <family val="2"/>
    </font>
    <font>
      <b/>
      <sz val="12"/>
      <color theme="0" tint="-0.499984740745262"/>
      <name val="Calibri"/>
      <family val="2"/>
      <scheme val="minor"/>
    </font>
    <font>
      <b/>
      <sz val="12"/>
      <name val="Trebuchet MS"/>
      <family val="2"/>
    </font>
    <font>
      <b/>
      <sz val="10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43" fontId="6" fillId="0" borderId="0" applyFont="0" applyFill="0" applyBorder="0" applyAlignment="0" applyProtection="0"/>
  </cellStyleXfs>
  <cellXfs count="77">
    <xf numFmtId="0" fontId="0" fillId="0" borderId="0" xfId="0"/>
    <xf numFmtId="0" fontId="1" fillId="3" borderId="0" xfId="1" applyFill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1" fillId="3" borderId="0" xfId="1" applyFill="1"/>
    <xf numFmtId="0" fontId="3" fillId="4" borderId="10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0" borderId="10" xfId="2" applyFont="1" applyBorder="1" applyAlignment="1">
      <alignment horizontal="left" vertical="center"/>
    </xf>
    <xf numFmtId="40" fontId="7" fillId="0" borderId="10" xfId="3" applyNumberFormat="1" applyFont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10" xfId="1" applyFont="1" applyBorder="1" applyAlignment="1">
      <alignment horizontal="left" vertical="center"/>
    </xf>
    <xf numFmtId="0" fontId="7" fillId="3" borderId="10" xfId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1" fillId="0" borderId="0" xfId="1"/>
    <xf numFmtId="0" fontId="3" fillId="7" borderId="10" xfId="1" applyFont="1" applyFill="1" applyBorder="1" applyAlignment="1">
      <alignment horizontal="left" vertical="center"/>
    </xf>
    <xf numFmtId="0" fontId="7" fillId="3" borderId="10" xfId="1" applyFont="1" applyFill="1" applyBorder="1" applyAlignment="1">
      <alignment horizontal="center" vertical="center" wrapText="1"/>
    </xf>
    <xf numFmtId="0" fontId="11" fillId="6" borderId="10" xfId="1" applyFont="1" applyFill="1" applyBorder="1" applyAlignment="1">
      <alignment horizontal="center" vertical="center" wrapText="1"/>
    </xf>
    <xf numFmtId="0" fontId="12" fillId="7" borderId="10" xfId="1" applyFont="1" applyFill="1" applyBorder="1" applyAlignment="1">
      <alignment horizontal="left" vertical="center"/>
    </xf>
    <xf numFmtId="0" fontId="7" fillId="0" borderId="10" xfId="1" applyFont="1" applyBorder="1" applyAlignment="1">
      <alignment vertical="center"/>
    </xf>
    <xf numFmtId="0" fontId="13" fillId="3" borderId="0" xfId="1" applyFont="1" applyFill="1"/>
    <xf numFmtId="0" fontId="12" fillId="0" borderId="10" xfId="0" applyFont="1" applyBorder="1" applyAlignment="1">
      <alignment vertical="center"/>
    </xf>
    <xf numFmtId="0" fontId="14" fillId="3" borderId="10" xfId="2" applyFont="1" applyFill="1" applyBorder="1" applyAlignment="1">
      <alignment horizontal="center" vertical="center"/>
    </xf>
    <xf numFmtId="0" fontId="1" fillId="3" borderId="17" xfId="1" applyFill="1" applyBorder="1"/>
    <xf numFmtId="0" fontId="3" fillId="7" borderId="12" xfId="1" applyFont="1" applyFill="1" applyBorder="1" applyAlignment="1">
      <alignment horizontal="left" vertical="center"/>
    </xf>
    <xf numFmtId="0" fontId="7" fillId="3" borderId="9" xfId="1" applyFont="1" applyFill="1" applyBorder="1" applyAlignment="1">
      <alignment horizontal="center" vertical="center" wrapText="1"/>
    </xf>
    <xf numFmtId="0" fontId="18" fillId="3" borderId="0" xfId="2" applyFont="1" applyFill="1" applyAlignment="1">
      <alignment vertical="center"/>
    </xf>
    <xf numFmtId="0" fontId="3" fillId="3" borderId="0" xfId="1" applyFont="1" applyFill="1" applyAlignment="1">
      <alignment horizontal="center"/>
    </xf>
    <xf numFmtId="0" fontId="1" fillId="3" borderId="0" xfId="1" applyFill="1" applyAlignment="1">
      <alignment vertical="center"/>
    </xf>
    <xf numFmtId="0" fontId="16" fillId="2" borderId="4" xfId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vertical="center" wrapText="1"/>
    </xf>
    <xf numFmtId="0" fontId="16" fillId="2" borderId="5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17" fontId="2" fillId="2" borderId="4" xfId="1" applyNumberFormat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/>
    </xf>
    <xf numFmtId="0" fontId="15" fillId="3" borderId="0" xfId="2" applyFont="1" applyFill="1" applyAlignment="1">
      <alignment horizontal="center"/>
    </xf>
    <xf numFmtId="0" fontId="16" fillId="2" borderId="1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0" fontId="16" fillId="2" borderId="3" xfId="1" applyFont="1" applyFill="1" applyBorder="1" applyAlignment="1">
      <alignment horizontal="center" vertical="center" wrapText="1"/>
    </xf>
    <xf numFmtId="0" fontId="5" fillId="5" borderId="18" xfId="1" applyFont="1" applyFill="1" applyBorder="1" applyAlignment="1">
      <alignment horizontal="center" vertical="center"/>
    </xf>
    <xf numFmtId="0" fontId="5" fillId="5" borderId="19" xfId="1" applyFont="1" applyFill="1" applyBorder="1" applyAlignment="1">
      <alignment horizontal="center" vertical="center"/>
    </xf>
    <xf numFmtId="0" fontId="5" fillId="5" borderId="14" xfId="1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  <xf numFmtId="0" fontId="5" fillId="5" borderId="16" xfId="1" applyFont="1" applyFill="1" applyBorder="1" applyAlignment="1">
      <alignment horizontal="center" vertical="center"/>
    </xf>
    <xf numFmtId="0" fontId="17" fillId="3" borderId="0" xfId="2" applyFont="1" applyFill="1" applyAlignment="1">
      <alignment horizontal="center"/>
    </xf>
    <xf numFmtId="17" fontId="16" fillId="2" borderId="4" xfId="1" applyNumberFormat="1" applyFont="1" applyFill="1" applyBorder="1" applyAlignment="1">
      <alignment horizontal="center" vertical="center" wrapText="1"/>
    </xf>
    <xf numFmtId="17" fontId="16" fillId="2" borderId="0" xfId="1" applyNumberFormat="1" applyFont="1" applyFill="1" applyAlignment="1">
      <alignment horizontal="center" vertical="center" wrapText="1"/>
    </xf>
    <xf numFmtId="17" fontId="16" fillId="2" borderId="5" xfId="1" applyNumberFormat="1" applyFont="1" applyFill="1" applyBorder="1" applyAlignment="1">
      <alignment horizontal="center" vertical="center" wrapText="1"/>
    </xf>
    <xf numFmtId="0" fontId="16" fillId="2" borderId="6" xfId="1" applyFont="1" applyFill="1" applyBorder="1" applyAlignment="1">
      <alignment horizontal="center" vertical="center" wrapText="1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3" fillId="4" borderId="12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/>
    </xf>
    <xf numFmtId="0" fontId="19" fillId="3" borderId="18" xfId="1" applyFont="1" applyFill="1" applyBorder="1"/>
    <xf numFmtId="0" fontId="1" fillId="3" borderId="19" xfId="1" applyFill="1" applyBorder="1"/>
    <xf numFmtId="0" fontId="1" fillId="3" borderId="20" xfId="1" applyFill="1" applyBorder="1"/>
    <xf numFmtId="0" fontId="1" fillId="3" borderId="0" xfId="1" applyFill="1" applyBorder="1"/>
    <xf numFmtId="0" fontId="1" fillId="3" borderId="21" xfId="1" applyFill="1" applyBorder="1"/>
    <xf numFmtId="16" fontId="1" fillId="3" borderId="0" xfId="1" applyNumberFormat="1" applyFill="1" applyBorder="1"/>
    <xf numFmtId="0" fontId="1" fillId="3" borderId="22" xfId="1" applyFill="1" applyBorder="1"/>
    <xf numFmtId="0" fontId="1" fillId="3" borderId="23" xfId="1" applyFill="1" applyBorder="1"/>
    <xf numFmtId="0" fontId="1" fillId="3" borderId="24" xfId="1" applyFill="1" applyBorder="1"/>
  </cellXfs>
  <cellStyles count="4">
    <cellStyle name="Comma 2" xfId="3" xr:uid="{EDE1D217-7162-4518-8E6C-D740497A2B54}"/>
    <cellStyle name="Normal" xfId="0" builtinId="0"/>
    <cellStyle name="Normal 10" xfId="2" xr:uid="{623D16A8-809D-49E7-BF88-D0217A1A8EA3}"/>
    <cellStyle name="Normal 2" xfId="1" xr:uid="{44E62B86-C93C-48D8-8359-037E63A3ED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03F9-E7F4-4F46-9E7B-E5B3CE2D38C2}">
  <dimension ref="A1:DE42"/>
  <sheetViews>
    <sheetView tabSelected="1" zoomScale="70" zoomScaleNormal="70" workbookViewId="0">
      <selection activeCell="C8" sqref="C8"/>
    </sheetView>
  </sheetViews>
  <sheetFormatPr defaultColWidth="11.42578125" defaultRowHeight="15"/>
  <cols>
    <col min="1" max="1" width="33.140625" style="3" customWidth="1"/>
    <col min="2" max="2" width="19.5703125" style="29" customWidth="1"/>
    <col min="3" max="3" width="19.5703125" style="3" customWidth="1"/>
    <col min="4" max="18" width="9.5703125" style="3" customWidth="1"/>
    <col min="19" max="16384" width="11.42578125" style="3"/>
  </cols>
  <sheetData>
    <row r="1" spans="1:109" s="1" customFormat="1" ht="27" customHeight="1">
      <c r="A1" s="33" t="s">
        <v>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</row>
    <row r="2" spans="1:109" s="1" customFormat="1" ht="27" customHeight="1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</row>
    <row r="3" spans="1:109" s="1" customFormat="1" ht="27" customHeight="1">
      <c r="A3" s="39">
        <v>46023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8"/>
    </row>
    <row r="4" spans="1:109" s="1" customFormat="1" ht="27" customHeight="1" thickBot="1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2"/>
    </row>
    <row r="5" spans="1:109" ht="30" customHeight="1">
      <c r="A5" s="43" t="s">
        <v>44</v>
      </c>
      <c r="B5" s="45" t="s">
        <v>43</v>
      </c>
      <c r="C5" s="43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4</v>
      </c>
      <c r="L5" s="2" t="s">
        <v>5</v>
      </c>
      <c r="M5" s="2" t="s">
        <v>6</v>
      </c>
      <c r="N5" s="2" t="s">
        <v>7</v>
      </c>
      <c r="O5" s="2" t="s">
        <v>8</v>
      </c>
      <c r="P5" s="2" t="s">
        <v>9</v>
      </c>
      <c r="Q5" s="2" t="s">
        <v>10</v>
      </c>
      <c r="R5" s="2" t="s">
        <v>4</v>
      </c>
      <c r="U5" s="68" t="s">
        <v>34</v>
      </c>
      <c r="V5" s="69"/>
      <c r="W5" s="70"/>
    </row>
    <row r="6" spans="1:109" ht="25.15" customHeight="1">
      <c r="A6" s="44"/>
      <c r="B6" s="46"/>
      <c r="C6" s="44"/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5">
        <v>8</v>
      </c>
      <c r="L6" s="5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U6" s="24" t="s">
        <v>33</v>
      </c>
      <c r="V6" s="71"/>
      <c r="W6" s="72"/>
    </row>
    <row r="7" spans="1:109" ht="35.25" customHeight="1">
      <c r="A7" s="47" t="s">
        <v>11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U7" s="24" t="s">
        <v>30</v>
      </c>
      <c r="V7" s="73" t="s">
        <v>29</v>
      </c>
      <c r="W7" s="72"/>
    </row>
    <row r="8" spans="1:109" ht="40.5" customHeight="1">
      <c r="A8" s="6" t="s">
        <v>35</v>
      </c>
      <c r="B8" s="7"/>
      <c r="C8" s="8"/>
      <c r="D8" s="9" t="s">
        <v>12</v>
      </c>
      <c r="E8" s="9" t="s">
        <v>12</v>
      </c>
      <c r="F8" s="9" t="s">
        <v>12</v>
      </c>
      <c r="G8" s="9" t="s">
        <v>12</v>
      </c>
      <c r="H8" s="9" t="s">
        <v>12</v>
      </c>
      <c r="I8" s="9" t="s">
        <v>12</v>
      </c>
      <c r="J8" s="9" t="s">
        <v>12</v>
      </c>
      <c r="K8" s="9" t="s">
        <v>12</v>
      </c>
      <c r="L8" s="9" t="s">
        <v>12</v>
      </c>
      <c r="M8" s="9" t="s">
        <v>12</v>
      </c>
      <c r="N8" s="9" t="s">
        <v>12</v>
      </c>
      <c r="O8" s="9" t="s">
        <v>12</v>
      </c>
      <c r="P8" s="9" t="s">
        <v>12</v>
      </c>
      <c r="Q8" s="9" t="s">
        <v>12</v>
      </c>
      <c r="R8" s="9" t="s">
        <v>12</v>
      </c>
      <c r="U8" s="24" t="s">
        <v>31</v>
      </c>
      <c r="V8" s="71" t="s">
        <v>27</v>
      </c>
      <c r="W8" s="72"/>
    </row>
    <row r="9" spans="1:109" ht="35.25" customHeight="1">
      <c r="A9" s="47" t="s">
        <v>13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U9" s="74" t="s">
        <v>32</v>
      </c>
      <c r="V9" s="75" t="s">
        <v>28</v>
      </c>
      <c r="W9" s="76"/>
    </row>
    <row r="10" spans="1:109" ht="35.25" customHeight="1">
      <c r="A10" s="10" t="s">
        <v>36</v>
      </c>
      <c r="B10" s="7">
        <v>24623</v>
      </c>
      <c r="C10" s="11"/>
      <c r="D10" s="9" t="s">
        <v>12</v>
      </c>
      <c r="E10" s="9" t="s">
        <v>12</v>
      </c>
      <c r="F10" s="9" t="s">
        <v>12</v>
      </c>
      <c r="G10" s="9" t="s">
        <v>12</v>
      </c>
      <c r="H10" s="9" t="s">
        <v>12</v>
      </c>
      <c r="I10" s="9" t="s">
        <v>12</v>
      </c>
      <c r="J10" s="9" t="s">
        <v>12</v>
      </c>
      <c r="K10" s="9" t="s">
        <v>12</v>
      </c>
      <c r="L10" s="9" t="s">
        <v>12</v>
      </c>
      <c r="M10" s="9" t="s">
        <v>12</v>
      </c>
      <c r="N10" s="9" t="s">
        <v>12</v>
      </c>
      <c r="O10" s="9" t="s">
        <v>12</v>
      </c>
      <c r="P10" s="9" t="s">
        <v>12</v>
      </c>
      <c r="Q10" s="9" t="s">
        <v>12</v>
      </c>
      <c r="R10" s="9" t="s">
        <v>12</v>
      </c>
    </row>
    <row r="11" spans="1:109" ht="39.75" customHeight="1">
      <c r="A11" s="22" t="s">
        <v>37</v>
      </c>
      <c r="B11" s="7">
        <v>2152.5</v>
      </c>
      <c r="C11" s="12"/>
      <c r="D11" s="9" t="s">
        <v>12</v>
      </c>
      <c r="E11" s="9" t="s">
        <v>12</v>
      </c>
      <c r="F11" s="9" t="s">
        <v>14</v>
      </c>
      <c r="G11" s="9" t="s">
        <v>14</v>
      </c>
      <c r="H11" s="9" t="s">
        <v>15</v>
      </c>
      <c r="I11" s="9" t="s">
        <v>15</v>
      </c>
      <c r="J11" s="9" t="s">
        <v>15</v>
      </c>
      <c r="K11" s="9" t="s">
        <v>15</v>
      </c>
      <c r="L11" s="9" t="s">
        <v>15</v>
      </c>
      <c r="M11" s="9" t="s">
        <v>15</v>
      </c>
      <c r="N11" s="9" t="s">
        <v>14</v>
      </c>
      <c r="O11" s="9" t="s">
        <v>15</v>
      </c>
      <c r="P11" s="9" t="s">
        <v>15</v>
      </c>
      <c r="Q11" s="9" t="s">
        <v>15</v>
      </c>
      <c r="R11" s="9" t="s">
        <v>15</v>
      </c>
      <c r="W11"/>
    </row>
    <row r="12" spans="1:109" ht="42.75" customHeight="1">
      <c r="A12" s="10" t="s">
        <v>38</v>
      </c>
      <c r="B12" s="7">
        <v>1256.25</v>
      </c>
      <c r="C12" s="11"/>
      <c r="D12" s="13" t="s">
        <v>16</v>
      </c>
      <c r="E12" s="13" t="s">
        <v>16</v>
      </c>
      <c r="F12" s="13" t="s">
        <v>16</v>
      </c>
      <c r="G12" s="13" t="s">
        <v>16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3" t="s">
        <v>16</v>
      </c>
      <c r="O12" s="13" t="s">
        <v>16</v>
      </c>
      <c r="P12" s="13" t="s">
        <v>16</v>
      </c>
      <c r="Q12" s="13" t="s">
        <v>16</v>
      </c>
      <c r="R12" s="13" t="s">
        <v>16</v>
      </c>
    </row>
    <row r="13" spans="1:109" ht="36" customHeight="1">
      <c r="A13" s="10" t="s">
        <v>39</v>
      </c>
      <c r="B13" s="7">
        <v>1220.5</v>
      </c>
      <c r="C13" s="11"/>
      <c r="D13" s="9" t="s">
        <v>12</v>
      </c>
      <c r="E13" s="9" t="s">
        <v>12</v>
      </c>
      <c r="F13" s="9" t="s">
        <v>12</v>
      </c>
      <c r="G13" s="9" t="s">
        <v>12</v>
      </c>
      <c r="H13" s="9" t="s">
        <v>12</v>
      </c>
      <c r="I13" s="9" t="s">
        <v>12</v>
      </c>
      <c r="J13" s="9" t="s">
        <v>12</v>
      </c>
      <c r="K13" s="9" t="s">
        <v>12</v>
      </c>
      <c r="L13" s="9" t="s">
        <v>12</v>
      </c>
      <c r="M13" s="9" t="s">
        <v>12</v>
      </c>
      <c r="N13" s="9" t="s">
        <v>12</v>
      </c>
      <c r="O13" s="9" t="s">
        <v>12</v>
      </c>
      <c r="P13" s="9" t="s">
        <v>12</v>
      </c>
      <c r="Q13" s="9" t="s">
        <v>12</v>
      </c>
      <c r="R13" s="9" t="s">
        <v>12</v>
      </c>
      <c r="W13"/>
    </row>
    <row r="14" spans="1:109" s="15" customFormat="1" ht="35.450000000000003" customHeight="1">
      <c r="A14" s="22" t="s">
        <v>40</v>
      </c>
      <c r="B14" s="7">
        <v>352.5</v>
      </c>
      <c r="C14" s="14"/>
      <c r="D14" s="13" t="s">
        <v>12</v>
      </c>
      <c r="E14" s="13" t="s">
        <v>12</v>
      </c>
      <c r="F14" s="13" t="s">
        <v>12</v>
      </c>
      <c r="G14" s="13" t="s">
        <v>12</v>
      </c>
      <c r="H14" s="13" t="s">
        <v>12</v>
      </c>
      <c r="I14" s="13" t="s">
        <v>12</v>
      </c>
      <c r="J14" s="13" t="s">
        <v>12</v>
      </c>
      <c r="K14" s="13" t="s">
        <v>12</v>
      </c>
      <c r="L14" s="13" t="s">
        <v>12</v>
      </c>
      <c r="M14" s="13" t="s">
        <v>12</v>
      </c>
      <c r="N14" s="13" t="s">
        <v>12</v>
      </c>
      <c r="O14" s="13" t="s">
        <v>12</v>
      </c>
      <c r="P14" s="13" t="s">
        <v>12</v>
      </c>
      <c r="Q14" s="13" t="s">
        <v>12</v>
      </c>
      <c r="R14" s="13" t="s">
        <v>12</v>
      </c>
      <c r="S14" s="3"/>
      <c r="T14" s="3"/>
      <c r="U14" s="3"/>
      <c r="V14" s="3"/>
      <c r="W14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</row>
    <row r="15" spans="1:109" ht="35.25" customHeight="1">
      <c r="A15" s="47" t="s">
        <v>17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</row>
    <row r="16" spans="1:109" ht="40.35" hidden="1" customHeight="1">
      <c r="A16" s="16" t="s">
        <v>18</v>
      </c>
      <c r="B16" s="7">
        <v>36042.949999999997</v>
      </c>
      <c r="C16" s="17" t="s">
        <v>19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09" s="21" customFormat="1" ht="35.25" hidden="1" customHeight="1">
      <c r="A17" s="19" t="s">
        <v>20</v>
      </c>
      <c r="B17" s="7">
        <v>6527.75</v>
      </c>
      <c r="C17" s="11" t="s">
        <v>21</v>
      </c>
      <c r="D17" s="20" t="str">
        <f>IFERROR(VLOOKUP($A17,T25Aug,4,FALSE),"")</f>
        <v/>
      </c>
      <c r="E17" s="20" t="str">
        <f>IFERROR(VLOOKUP($A17,T25Aug,5,FALSE),"")</f>
        <v/>
      </c>
      <c r="F17" s="20" t="str">
        <f>IFERROR(VLOOKUP($A17,T25Aug,6,FALSE),"")</f>
        <v/>
      </c>
      <c r="G17" s="20" t="str">
        <f>IFERROR(VLOOKUP($A17,T25Aug,7,FALSE),"")</f>
        <v/>
      </c>
      <c r="H17" s="20" t="str">
        <f>IFERROR(VLOOKUP($A17,T25Aug,8,FALSE),"")</f>
        <v/>
      </c>
      <c r="I17" s="20" t="str">
        <f>IFERROR(VLOOKUP($A17,T25Aug,9,FALSE),"")</f>
        <v/>
      </c>
      <c r="J17" s="20" t="str">
        <f>IFERROR(VLOOKUP($A17,T25Aug,10,FALSE),"")</f>
        <v/>
      </c>
      <c r="K17" s="20" t="str">
        <f>IFERROR(VLOOKUP($A17,T25Aug,11,FALSE),"")</f>
        <v/>
      </c>
      <c r="L17" s="20" t="str">
        <f>IFERROR(VLOOKUP($A17,T25Aug,12,FALSE),"")</f>
        <v/>
      </c>
      <c r="M17" s="20" t="str">
        <f>IFERROR(VLOOKUP($A17,T25Aug,13,FALSE),"")</f>
        <v/>
      </c>
      <c r="N17" s="20" t="str">
        <f>IFERROR(VLOOKUP($A17,T25Aug,14,FALSE),"")</f>
        <v/>
      </c>
      <c r="O17" s="20" t="str">
        <f>IFERROR(VLOOKUP($A17,T25Aug,15,FALSE),"")</f>
        <v/>
      </c>
      <c r="P17" s="20" t="str">
        <f>IFERROR(VLOOKUP($A17,T25Aug,16,FALSE),"")</f>
        <v/>
      </c>
      <c r="Q17" s="20" t="str">
        <f>IFERROR(VLOOKUP($A17,T25Aug,17,FALSE),"")</f>
        <v/>
      </c>
      <c r="R17" s="20" t="str">
        <f>IFERROR(VLOOKUP($A17,T25Aug,18,FALSE),"")</f>
        <v/>
      </c>
    </row>
    <row r="18" spans="1:109" ht="42.75" customHeight="1">
      <c r="A18" s="22" t="s">
        <v>41</v>
      </c>
      <c r="B18" s="7">
        <v>23914.69</v>
      </c>
      <c r="C18" s="14"/>
      <c r="D18" s="9" t="s">
        <v>22</v>
      </c>
      <c r="E18" s="9" t="s">
        <v>14</v>
      </c>
      <c r="F18" s="9" t="s">
        <v>23</v>
      </c>
      <c r="G18" s="9" t="s">
        <v>23</v>
      </c>
      <c r="H18" s="9" t="s">
        <v>14</v>
      </c>
      <c r="I18" s="9" t="s">
        <v>14</v>
      </c>
      <c r="J18" s="9" t="s">
        <v>14</v>
      </c>
      <c r="K18" s="9" t="s">
        <v>14</v>
      </c>
      <c r="L18" s="9" t="s">
        <v>14</v>
      </c>
      <c r="M18" s="9" t="s">
        <v>23</v>
      </c>
      <c r="N18" s="9" t="s">
        <v>23</v>
      </c>
      <c r="O18" s="9" t="s">
        <v>14</v>
      </c>
      <c r="P18" s="9" t="s">
        <v>14</v>
      </c>
      <c r="Q18" s="9" t="s">
        <v>14</v>
      </c>
      <c r="R18" s="9" t="s">
        <v>14</v>
      </c>
    </row>
    <row r="19" spans="1:109" ht="36" customHeight="1">
      <c r="A19" s="22" t="s">
        <v>42</v>
      </c>
      <c r="B19" s="7">
        <v>3934</v>
      </c>
      <c r="C19" s="23"/>
      <c r="D19" s="9" t="s">
        <v>12</v>
      </c>
      <c r="E19" s="9" t="s">
        <v>12</v>
      </c>
      <c r="F19" s="9" t="s">
        <v>12</v>
      </c>
      <c r="G19" s="9" t="s">
        <v>24</v>
      </c>
      <c r="H19" s="9" t="s">
        <v>24</v>
      </c>
      <c r="I19" s="9" t="s">
        <v>24</v>
      </c>
      <c r="J19" s="9" t="s">
        <v>24</v>
      </c>
      <c r="K19" s="9" t="s">
        <v>24</v>
      </c>
      <c r="L19" s="9" t="s">
        <v>12</v>
      </c>
      <c r="M19" s="9" t="s">
        <v>12</v>
      </c>
      <c r="N19" s="9" t="s">
        <v>24</v>
      </c>
      <c r="O19" s="9" t="s">
        <v>24</v>
      </c>
      <c r="P19" s="9" t="s">
        <v>24</v>
      </c>
      <c r="Q19" s="9" t="s">
        <v>24</v>
      </c>
      <c r="R19" s="9" t="s">
        <v>24</v>
      </c>
      <c r="W19"/>
    </row>
    <row r="20" spans="1:109" ht="27" customHeight="1" thickBo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</row>
    <row r="21" spans="1:109" s="1" customFormat="1" ht="27" customHeight="1">
      <c r="A21" s="49" t="s">
        <v>26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1"/>
    </row>
    <row r="22" spans="1:109" s="1" customFormat="1" ht="27" customHeight="1">
      <c r="A22" s="30" t="s">
        <v>0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2"/>
    </row>
    <row r="23" spans="1:109" s="1" customFormat="1" ht="27" customHeight="1">
      <c r="A23" s="58">
        <f>A3</f>
        <v>46023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60"/>
    </row>
    <row r="24" spans="1:109" s="1" customFormat="1" ht="27" customHeight="1" thickBot="1">
      <c r="A24" s="61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3"/>
    </row>
    <row r="25" spans="1:109" ht="30" customHeight="1">
      <c r="A25" s="64" t="s">
        <v>1</v>
      </c>
      <c r="B25" s="45" t="s">
        <v>2</v>
      </c>
      <c r="C25" s="43" t="s">
        <v>3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4</v>
      </c>
      <c r="K25" s="2" t="s">
        <v>5</v>
      </c>
      <c r="L25" s="2" t="s">
        <v>6</v>
      </c>
      <c r="M25" s="2" t="s">
        <v>7</v>
      </c>
      <c r="N25" s="2" t="s">
        <v>8</v>
      </c>
      <c r="O25" s="2" t="s">
        <v>9</v>
      </c>
      <c r="P25" s="2" t="s">
        <v>10</v>
      </c>
      <c r="Q25" s="2" t="s">
        <v>4</v>
      </c>
      <c r="R25" s="2" t="s">
        <v>5</v>
      </c>
      <c r="S25" s="2" t="s">
        <v>6</v>
      </c>
    </row>
    <row r="26" spans="1:109" ht="25.15" customHeight="1">
      <c r="A26" s="65"/>
      <c r="B26" s="66"/>
      <c r="C26" s="67"/>
      <c r="D26" s="5">
        <v>16</v>
      </c>
      <c r="E26" s="5">
        <v>17</v>
      </c>
      <c r="F26" s="5">
        <v>18</v>
      </c>
      <c r="G26" s="5">
        <v>19</v>
      </c>
      <c r="H26" s="5">
        <v>20</v>
      </c>
      <c r="I26" s="5">
        <v>21</v>
      </c>
      <c r="J26" s="5">
        <v>22</v>
      </c>
      <c r="K26" s="5">
        <v>23</v>
      </c>
      <c r="L26" s="5">
        <v>24</v>
      </c>
      <c r="M26" s="5">
        <v>25</v>
      </c>
      <c r="N26" s="5">
        <v>26</v>
      </c>
      <c r="O26" s="5">
        <v>27</v>
      </c>
      <c r="P26" s="5">
        <v>28</v>
      </c>
      <c r="Q26" s="5">
        <v>29</v>
      </c>
      <c r="R26" s="5">
        <v>30</v>
      </c>
      <c r="S26" s="5">
        <v>31</v>
      </c>
    </row>
    <row r="27" spans="1:109" ht="35.25" customHeight="1">
      <c r="A27" s="54" t="s">
        <v>11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6"/>
      <c r="T27" s="24"/>
    </row>
    <row r="28" spans="1:109" ht="36" customHeight="1">
      <c r="A28" s="6" t="s">
        <v>35</v>
      </c>
      <c r="B28" s="7"/>
      <c r="C28" s="8"/>
      <c r="D28" s="9" t="s">
        <v>12</v>
      </c>
      <c r="E28" s="9" t="s">
        <v>12</v>
      </c>
      <c r="F28" s="9" t="s">
        <v>12</v>
      </c>
      <c r="G28" s="9" t="s">
        <v>12</v>
      </c>
      <c r="H28" s="9" t="s">
        <v>12</v>
      </c>
      <c r="I28" s="9" t="s">
        <v>12</v>
      </c>
      <c r="J28" s="9" t="s">
        <v>12</v>
      </c>
      <c r="K28" s="9" t="s">
        <v>12</v>
      </c>
      <c r="L28" s="9" t="s">
        <v>12</v>
      </c>
      <c r="M28" s="9" t="s">
        <v>12</v>
      </c>
      <c r="N28" s="9" t="s">
        <v>12</v>
      </c>
      <c r="O28" s="9" t="s">
        <v>12</v>
      </c>
      <c r="P28" s="9" t="s">
        <v>12</v>
      </c>
      <c r="Q28" s="9" t="s">
        <v>12</v>
      </c>
      <c r="R28" s="9" t="s">
        <v>12</v>
      </c>
      <c r="S28" s="9" t="s">
        <v>12</v>
      </c>
    </row>
    <row r="29" spans="1:109" ht="35.25" customHeight="1">
      <c r="A29" s="52" t="s">
        <v>13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24"/>
    </row>
    <row r="30" spans="1:109" ht="40.5" customHeight="1">
      <c r="A30" s="10" t="s">
        <v>36</v>
      </c>
      <c r="B30" s="7">
        <v>24623</v>
      </c>
      <c r="C30" s="11"/>
      <c r="D30" s="13" t="s">
        <v>12</v>
      </c>
      <c r="E30" s="13" t="s">
        <v>12</v>
      </c>
      <c r="F30" s="13" t="s">
        <v>12</v>
      </c>
      <c r="G30" s="13" t="s">
        <v>12</v>
      </c>
      <c r="H30" s="13" t="s">
        <v>12</v>
      </c>
      <c r="I30" s="13" t="s">
        <v>12</v>
      </c>
      <c r="J30" s="13" t="s">
        <v>12</v>
      </c>
      <c r="K30" s="13" t="s">
        <v>12</v>
      </c>
      <c r="L30" s="13" t="s">
        <v>12</v>
      </c>
      <c r="M30" s="13" t="s">
        <v>12</v>
      </c>
      <c r="N30" s="13" t="s">
        <v>12</v>
      </c>
      <c r="O30" s="13" t="s">
        <v>12</v>
      </c>
      <c r="P30" s="13" t="s">
        <v>12</v>
      </c>
      <c r="Q30" s="13" t="s">
        <v>12</v>
      </c>
      <c r="R30" s="13" t="s">
        <v>12</v>
      </c>
      <c r="S30" s="13" t="s">
        <v>12</v>
      </c>
    </row>
    <row r="31" spans="1:109" s="15" customFormat="1" ht="35.450000000000003" customHeight="1">
      <c r="A31" s="22" t="s">
        <v>37</v>
      </c>
      <c r="B31" s="7">
        <v>2152.5</v>
      </c>
      <c r="C31" s="12"/>
      <c r="D31" s="9" t="s">
        <v>15</v>
      </c>
      <c r="E31" s="9" t="s">
        <v>15</v>
      </c>
      <c r="F31" s="9" t="s">
        <v>25</v>
      </c>
      <c r="G31" s="9" t="s">
        <v>12</v>
      </c>
      <c r="H31" s="9" t="s">
        <v>15</v>
      </c>
      <c r="I31" s="9" t="s">
        <v>15</v>
      </c>
      <c r="J31" s="9" t="s">
        <v>15</v>
      </c>
      <c r="K31" s="9" t="s">
        <v>15</v>
      </c>
      <c r="L31" s="9" t="s">
        <v>15</v>
      </c>
      <c r="M31" s="9" t="s">
        <v>25</v>
      </c>
      <c r="N31" s="9" t="s">
        <v>12</v>
      </c>
      <c r="O31" s="9" t="s">
        <v>15</v>
      </c>
      <c r="P31" s="9" t="s">
        <v>15</v>
      </c>
      <c r="Q31" s="9" t="s">
        <v>15</v>
      </c>
      <c r="R31" s="9" t="s">
        <v>15</v>
      </c>
      <c r="S31" s="9" t="s">
        <v>15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</row>
    <row r="32" spans="1:109" ht="42.75" customHeight="1">
      <c r="A32" s="10" t="s">
        <v>38</v>
      </c>
      <c r="B32" s="7">
        <v>1256.25</v>
      </c>
      <c r="C32" s="11"/>
      <c r="D32" s="13" t="s">
        <v>16</v>
      </c>
      <c r="E32" s="13" t="s">
        <v>16</v>
      </c>
      <c r="F32" s="13" t="s">
        <v>16</v>
      </c>
      <c r="G32" s="13" t="s">
        <v>16</v>
      </c>
      <c r="H32" s="13" t="s">
        <v>16</v>
      </c>
      <c r="I32" s="13" t="s">
        <v>16</v>
      </c>
      <c r="J32" s="13" t="s">
        <v>16</v>
      </c>
      <c r="K32" s="13" t="s">
        <v>16</v>
      </c>
      <c r="L32" s="13" t="s">
        <v>16</v>
      </c>
      <c r="M32" s="13" t="s">
        <v>16</v>
      </c>
      <c r="N32" s="13" t="s">
        <v>16</v>
      </c>
      <c r="O32" s="13" t="s">
        <v>16</v>
      </c>
      <c r="P32" s="13" t="s">
        <v>16</v>
      </c>
      <c r="Q32" s="13" t="s">
        <v>16</v>
      </c>
      <c r="R32" s="13" t="s">
        <v>16</v>
      </c>
      <c r="S32" s="13" t="s">
        <v>16</v>
      </c>
    </row>
    <row r="33" spans="1:109" ht="35.450000000000003" customHeight="1">
      <c r="A33" s="10" t="s">
        <v>39</v>
      </c>
      <c r="B33" s="7">
        <v>1220.5</v>
      </c>
      <c r="C33" s="11"/>
      <c r="D33" s="9" t="s">
        <v>12</v>
      </c>
      <c r="E33" s="9" t="s">
        <v>12</v>
      </c>
      <c r="F33" s="9" t="s">
        <v>12</v>
      </c>
      <c r="G33" s="9" t="s">
        <v>12</v>
      </c>
      <c r="H33" s="9" t="s">
        <v>12</v>
      </c>
      <c r="I33" s="9" t="s">
        <v>12</v>
      </c>
      <c r="J33" s="9" t="s">
        <v>12</v>
      </c>
      <c r="K33" s="9" t="s">
        <v>12</v>
      </c>
      <c r="L33" s="9" t="s">
        <v>12</v>
      </c>
      <c r="M33" s="9" t="s">
        <v>12</v>
      </c>
      <c r="N33" s="9" t="s">
        <v>12</v>
      </c>
      <c r="O33" s="9" t="s">
        <v>12</v>
      </c>
      <c r="P33" s="9" t="s">
        <v>12</v>
      </c>
      <c r="Q33" s="9" t="s">
        <v>12</v>
      </c>
      <c r="R33" s="9" t="s">
        <v>12</v>
      </c>
      <c r="S33" s="9" t="s">
        <v>12</v>
      </c>
    </row>
    <row r="34" spans="1:109" s="15" customFormat="1" ht="35.450000000000003" customHeight="1">
      <c r="A34" s="22" t="s">
        <v>40</v>
      </c>
      <c r="B34" s="7">
        <v>352.5</v>
      </c>
      <c r="C34" s="12"/>
      <c r="D34" s="13" t="s">
        <v>12</v>
      </c>
      <c r="E34" s="13" t="s">
        <v>12</v>
      </c>
      <c r="F34" s="13" t="s">
        <v>12</v>
      </c>
      <c r="G34" s="13" t="s">
        <v>12</v>
      </c>
      <c r="H34" s="13" t="s">
        <v>12</v>
      </c>
      <c r="I34" s="13" t="s">
        <v>12</v>
      </c>
      <c r="J34" s="13" t="s">
        <v>12</v>
      </c>
      <c r="K34" s="13" t="s">
        <v>12</v>
      </c>
      <c r="L34" s="13" t="s">
        <v>12</v>
      </c>
      <c r="M34" s="13" t="s">
        <v>12</v>
      </c>
      <c r="N34" s="13" t="s">
        <v>12</v>
      </c>
      <c r="O34" s="13" t="s">
        <v>12</v>
      </c>
      <c r="P34" s="13" t="s">
        <v>12</v>
      </c>
      <c r="Q34" s="13" t="s">
        <v>12</v>
      </c>
      <c r="R34" s="13" t="s">
        <v>12</v>
      </c>
      <c r="S34" s="13" t="s">
        <v>12</v>
      </c>
      <c r="T34" s="3"/>
      <c r="U34" s="3"/>
      <c r="V34" s="3"/>
      <c r="W34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</row>
    <row r="35" spans="1:109" ht="35.25" customHeight="1">
      <c r="A35" s="54" t="s">
        <v>17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6"/>
    </row>
    <row r="36" spans="1:109" ht="35.25" hidden="1" customHeight="1">
      <c r="A36" s="25" t="s">
        <v>18</v>
      </c>
      <c r="B36" s="7">
        <v>36042.949999999997</v>
      </c>
      <c r="C36" s="26" t="s">
        <v>19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09" ht="35.25" hidden="1" customHeight="1">
      <c r="A37" s="19" t="s">
        <v>20</v>
      </c>
      <c r="B37" s="7">
        <v>6527.75</v>
      </c>
      <c r="C37" s="11" t="s">
        <v>21</v>
      </c>
      <c r="D37" s="20" t="str">
        <f>IFERROR(VLOOKUP($A37,T25Aug,19,FALSE),"")</f>
        <v/>
      </c>
      <c r="E37" s="20" t="str">
        <f>IFERROR(VLOOKUP($A37,T25Aug,20,FALSE),"")</f>
        <v/>
      </c>
      <c r="F37" s="20" t="str">
        <f>IFERROR(VLOOKUP($A37,T25Aug,21,FALSE),"")</f>
        <v/>
      </c>
      <c r="G37" s="20" t="str">
        <f>IFERROR(VLOOKUP($A37,T25Aug,22,FALSE),"")</f>
        <v/>
      </c>
      <c r="H37" s="20" t="str">
        <f>IFERROR(VLOOKUP($A37,T25Aug,23,FALSE),"")</f>
        <v/>
      </c>
      <c r="I37" s="20" t="str">
        <f>IFERROR(VLOOKUP($A37,T25Aug,24,FALSE),"")</f>
        <v/>
      </c>
      <c r="J37" s="20" t="str">
        <f>IFERROR(VLOOKUP($A37,T25Aug,25,FALSE),"")</f>
        <v/>
      </c>
      <c r="K37" s="20" t="str">
        <f>IFERROR(VLOOKUP($A37,T25Aug,26,FALSE),"")</f>
        <v/>
      </c>
      <c r="L37" s="20" t="str">
        <f>IFERROR(VLOOKUP($A37,T25Aug,27,FALSE),"")</f>
        <v/>
      </c>
      <c r="M37" s="20" t="str">
        <f>IFERROR(VLOOKUP($A37,T25Aug,28,FALSE),"")</f>
        <v/>
      </c>
      <c r="N37" s="20" t="str">
        <f>IFERROR(VLOOKUP($A37,T25Aug,29,FALSE),"")</f>
        <v/>
      </c>
      <c r="O37" s="20" t="str">
        <f>IFERROR(VLOOKUP($A37,T25Aug,30,FALSE),"")</f>
        <v/>
      </c>
      <c r="P37" s="20" t="str">
        <f>IFERROR(VLOOKUP($A37,T25Aug,31,FALSE),"")</f>
        <v/>
      </c>
      <c r="Q37" s="20" t="str">
        <f>IFERROR(VLOOKUP($A37,T25Aug,32,FALSE),"")</f>
        <v/>
      </c>
      <c r="R37" s="20" t="str">
        <f>IFERROR(VLOOKUP($A37,T25Aug,33,FALSE),"")</f>
        <v/>
      </c>
      <c r="S37" s="20" t="str">
        <f>IFERROR(VLOOKUP($A37,T25Aug,34,FALSE),"")</f>
        <v/>
      </c>
    </row>
    <row r="38" spans="1:109" ht="42.75" customHeight="1">
      <c r="A38" s="22" t="s">
        <v>41</v>
      </c>
      <c r="B38" s="7">
        <v>23914.69</v>
      </c>
      <c r="C38" s="14"/>
      <c r="D38" s="9" t="s">
        <v>14</v>
      </c>
      <c r="E38" s="9" t="s">
        <v>23</v>
      </c>
      <c r="F38" s="9" t="s">
        <v>23</v>
      </c>
      <c r="G38" s="9" t="s">
        <v>14</v>
      </c>
      <c r="H38" s="9" t="s">
        <v>14</v>
      </c>
      <c r="I38" s="9" t="s">
        <v>14</v>
      </c>
      <c r="J38" s="9" t="s">
        <v>14</v>
      </c>
      <c r="K38" s="9" t="s">
        <v>14</v>
      </c>
      <c r="L38" s="9" t="s">
        <v>23</v>
      </c>
      <c r="M38" s="9" t="s">
        <v>23</v>
      </c>
      <c r="N38" s="9" t="s">
        <v>14</v>
      </c>
      <c r="O38" s="9" t="s">
        <v>14</v>
      </c>
      <c r="P38" s="9" t="s">
        <v>14</v>
      </c>
      <c r="Q38" s="9" t="s">
        <v>14</v>
      </c>
      <c r="R38" s="9" t="s">
        <v>14</v>
      </c>
      <c r="S38" s="9" t="s">
        <v>23</v>
      </c>
    </row>
    <row r="39" spans="1:109" ht="35.450000000000003" customHeight="1">
      <c r="A39" s="22" t="s">
        <v>42</v>
      </c>
      <c r="B39" s="7">
        <v>3934</v>
      </c>
      <c r="C39" s="23"/>
      <c r="D39" s="9" t="s">
        <v>12</v>
      </c>
      <c r="E39" s="9" t="s">
        <v>12</v>
      </c>
      <c r="F39" s="9" t="s">
        <v>24</v>
      </c>
      <c r="G39" s="9" t="s">
        <v>24</v>
      </c>
      <c r="H39" s="9" t="s">
        <v>24</v>
      </c>
      <c r="I39" s="9" t="s">
        <v>24</v>
      </c>
      <c r="J39" s="9" t="s">
        <v>24</v>
      </c>
      <c r="K39" s="9" t="s">
        <v>12</v>
      </c>
      <c r="L39" s="9" t="s">
        <v>12</v>
      </c>
      <c r="M39" s="9" t="s">
        <v>24</v>
      </c>
      <c r="N39" s="9" t="s">
        <v>24</v>
      </c>
      <c r="O39" s="9" t="s">
        <v>24</v>
      </c>
      <c r="P39" s="9" t="s">
        <v>24</v>
      </c>
      <c r="Q39" s="9" t="s">
        <v>24</v>
      </c>
      <c r="R39" s="9" t="s">
        <v>12</v>
      </c>
      <c r="S39" s="9" t="s">
        <v>12</v>
      </c>
    </row>
    <row r="40" spans="1:109" ht="27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27"/>
      <c r="T40" s="27"/>
      <c r="U40" s="27"/>
    </row>
    <row r="42" spans="1:109" ht="18">
      <c r="A42" s="2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22">
    <mergeCell ref="A29:S29"/>
    <mergeCell ref="A35:S35"/>
    <mergeCell ref="A40:R40"/>
    <mergeCell ref="A23:S23"/>
    <mergeCell ref="A24:S24"/>
    <mergeCell ref="A25:A26"/>
    <mergeCell ref="B25:B26"/>
    <mergeCell ref="C25:C26"/>
    <mergeCell ref="A27:S27"/>
    <mergeCell ref="A22:S22"/>
    <mergeCell ref="A1:R1"/>
    <mergeCell ref="A2:R2"/>
    <mergeCell ref="A3:R3"/>
    <mergeCell ref="A4:R4"/>
    <mergeCell ref="A5:A6"/>
    <mergeCell ref="B5:B6"/>
    <mergeCell ref="C5:C6"/>
    <mergeCell ref="A7:R7"/>
    <mergeCell ref="A9:R9"/>
    <mergeCell ref="A15:R15"/>
    <mergeCell ref="A20:R20"/>
    <mergeCell ref="A21:S21"/>
  </mergeCells>
  <pageMargins left="0.40748031499999998" right="0.15748031496063" top="0.643700787" bottom="0.39370078740157499" header="0.511811023622047" footer="0.511811023622047"/>
  <pageSetup paperSize="5" scale="6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Program Name Here</vt:lpstr>
      <vt:lpstr>'Program Name Here'!Print_Area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Ulrika Bristow</dc:creator>
  <cp:lastModifiedBy>Electric Brains</cp:lastModifiedBy>
  <dcterms:created xsi:type="dcterms:W3CDTF">2026-01-11T22:41:52Z</dcterms:created>
  <dcterms:modified xsi:type="dcterms:W3CDTF">2026-01-12T17:37:22Z</dcterms:modified>
</cp:coreProperties>
</file>